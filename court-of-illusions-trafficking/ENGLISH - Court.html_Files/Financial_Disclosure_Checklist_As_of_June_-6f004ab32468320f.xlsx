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C:\Users\steve\Documents\"/>
    </mc:Choice>
  </mc:AlternateContent>
  <xr:revisionPtr revIDLastSave="0" documentId="13_ncr:1_{E45115BD-E5E6-41DC-AD5C-0B09C29EE557}" xr6:coauthVersionLast="47" xr6:coauthVersionMax="47" xr10:uidLastSave="{00000000-0000-0000-0000-000000000000}"/>
  <bookViews>
    <workbookView xWindow="-108" yWindow="-108" windowWidth="23256" windowHeight="12576" activeTab="3" xr2:uid="{A64E9FFF-4865-4DC0-A9D9-69B64F54F8BF}"/>
  </bookViews>
  <sheets>
    <sheet name="Strategy" sheetId="5" r:id="rId1"/>
    <sheet name="My Concerns" sheetId="3" r:id="rId2"/>
    <sheet name="Financial Disclosure Checklist" sheetId="2" r:id="rId3"/>
    <sheet name="Funds Removed By Heather" sheetId="4" r:id="rId4"/>
  </sheets>
  <definedNames>
    <definedName name="_xlnm.Print_Area" localSheetId="3">'Funds Removed By Heather'!$A$1:$M$44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4" l="1"/>
  <c r="G20" i="4"/>
  <c r="G17" i="4"/>
  <c r="K13" i="4"/>
  <c r="G14" i="4" s="1"/>
  <c r="G13" i="4"/>
  <c r="C13" i="4"/>
  <c r="G11" i="4"/>
  <c r="L7" i="4"/>
  <c r="K7" i="4"/>
  <c r="G8" i="4" s="1"/>
  <c r="G24" i="4" s="1"/>
  <c r="H7" i="4"/>
  <c r="G7" i="4"/>
  <c r="D7" i="4"/>
  <c r="C7" i="4"/>
  <c r="K4" i="4"/>
  <c r="G26" i="4" s="1"/>
  <c r="H4" i="4"/>
  <c r="G4" i="4"/>
  <c r="D4" i="4"/>
  <c r="C4" i="4"/>
  <c r="G5" i="4" l="1"/>
</calcChain>
</file>

<file path=xl/sharedStrings.xml><?xml version="1.0" encoding="utf-8"?>
<sst xmlns="http://schemas.openxmlformats.org/spreadsheetml/2006/main" count="184" uniqueCount="139">
  <si>
    <t xml:space="preserve">4.2.3 Westpac Business One Plus 032-513 316525: </t>
  </si>
  <si>
    <t>Fixed Options Home Loan 037-173 216802:</t>
  </si>
  <si>
    <t>Financial Disclosure Checklist</t>
  </si>
  <si>
    <t>Missing: From January 1, 2018, to April 21, 2022 (51 statements)
Missing: From January 18, 2023, to June 1, 2024 (17 statements)</t>
  </si>
  <si>
    <t>Missing: 6 months From July 13, 2021, to February 8, 2022 (7 statements)</t>
  </si>
  <si>
    <t>Missing: From January 1, 2018, to February 8, 2021 (37 statements)</t>
  </si>
  <si>
    <t>Missing: From April 9, 2022, to October 6, 2022 (6 statements)</t>
  </si>
  <si>
    <t>Missing: From January 1, 2018, to October 7, 2021 (46 statements)</t>
  </si>
  <si>
    <t>Missing statements: 58 statements for January 2018 - October 2022, only have November 2022 and December 2022</t>
  </si>
  <si>
    <t>From July 16, 2022, to October 16, 2022 (3 statements)</t>
  </si>
  <si>
    <t>Rocket Repay Home Loan 037-173 25-7778:</t>
  </si>
  <si>
    <t>Rocket Repay Home Loan 037-173 257671:</t>
  </si>
  <si>
    <t>Rocket Repay Home Loan | Investment Loan 037-149 51-2919:</t>
  </si>
  <si>
    <t>Missing: From January 1, 2018, to July 16, 2020 (31 statements)</t>
  </si>
  <si>
    <t>Missing: From January 16, 2021, to April 15, 2021 (3 statements)</t>
  </si>
  <si>
    <t>Missing: From July 17, 2021, to October 14, 2021 (3 statements)</t>
  </si>
  <si>
    <t>Missing: From January 1, 2018, to October 7, 2020 (34 statements)</t>
  </si>
  <si>
    <t>Missing: From June 12, 2021, to December 7, 2021 (6 statements)</t>
  </si>
  <si>
    <t>Missing: From January 1, 2018, to October 30, 2022 (58 statements)</t>
  </si>
  <si>
    <t>Missing: From December 1, 2022, to December 31, 2022 (1 statement)</t>
  </si>
  <si>
    <t>(Condo - Unit 703 1 Como Street Southport)</t>
  </si>
  <si>
    <t>Have: From December 30, 2022 -  March 28, 2024 (16 statements)</t>
  </si>
  <si>
    <t>Have: From October 8, 2020 -  June 11, 2021 (9 statements)</t>
  </si>
  <si>
    <t>Have: April 16, 2021 - July 16, 2021 (24 statements)</t>
  </si>
  <si>
    <t>Have: October 15, 2021 - 15 July, 2022 (10 statements)</t>
  </si>
  <si>
    <t>Have: 2023 - March 28 2024 (15 statements)</t>
  </si>
  <si>
    <t>Have: April 22 2022 -Jan 17 2023 (34 statements)</t>
  </si>
  <si>
    <t>Have: From October 31, 2022 - November 30, 2022 (2 Statements)</t>
  </si>
  <si>
    <t>Have: From December 8, 2021 -  November 17, 2023</t>
  </si>
  <si>
    <t>Have: Recent Transactions from November 18, 2022 - November 17, 2023</t>
  </si>
  <si>
    <t>Have: Recent Transactions from  November 18 2022 - November 17 2023</t>
  </si>
  <si>
    <t>Have: February 9, 2022 - February 9, 2024 (24 statements)</t>
  </si>
  <si>
    <t>Have: February  9, 2021 - July 12, 2021 (5 statements)</t>
  </si>
  <si>
    <t>Have: October 7, 2022 - October 6, 2023 (13 statements)</t>
  </si>
  <si>
    <t>Have: October 8, 2021 - April 8, 2022 (7 statements)</t>
  </si>
  <si>
    <t>Have: October 17, 2022 - January 17, 2024 (14 statements)</t>
  </si>
  <si>
    <t>Have: July 17, 2020 - January 15, 2021</t>
  </si>
  <si>
    <t>Heather's relationship with her father had deteriorated rapidly before his death due to a significant argument involving alcohol a few years prior.</t>
  </si>
  <si>
    <t>Despite Steve's attempts to reconcile and say goodbye to Heather and her children before his passing, Heather chose not to allow any final goodbyes.</t>
  </si>
  <si>
    <t>Patricia (Heathers Mom) lost her job in late 2022. Apparently was planning to retire soon anyways.</t>
  </si>
  <si>
    <t>Steve, Heather's father, passed away around May 23, 2023.</t>
  </si>
  <si>
    <t>a)</t>
  </si>
  <si>
    <t>e)</t>
  </si>
  <si>
    <t>h)</t>
  </si>
  <si>
    <t>b)</t>
  </si>
  <si>
    <t>c)</t>
  </si>
  <si>
    <t>d)</t>
  </si>
  <si>
    <t>Shortly after Steve's death, his new wife began contacting Patricia, Heather's mother, and Carol, Heather's sister, demanding repayment of money allegedly owed by Patricia to Steve i.e. Super, apparently an outstanding</t>
  </si>
  <si>
    <t>issue relating to their divorce decades ago. The outcome of this demand is unknown.</t>
  </si>
  <si>
    <t xml:space="preserve">a) </t>
  </si>
  <si>
    <t xml:space="preserve">If I had signed that document, it would have pledged all joint assets, including the excessively inflated investment in my name, to Heather. This would have been accomplished </t>
  </si>
  <si>
    <t>through a $1 million loan intended for purchasing an investment property in Queensland.</t>
  </si>
  <si>
    <r>
      <t xml:space="preserve">Funds removed by Heather
</t>
    </r>
    <r>
      <rPr>
        <b/>
        <sz val="12"/>
        <color theme="1"/>
        <rFont val="Aptos Narrow"/>
        <family val="2"/>
        <scheme val="minor"/>
      </rPr>
      <t>(As of March 25, 2024)</t>
    </r>
  </si>
  <si>
    <t>As of November 7, 2023</t>
  </si>
  <si>
    <t>As of November 17, 2023
(Separation Date)</t>
  </si>
  <si>
    <t>As of March 25, 2024</t>
  </si>
  <si>
    <t>Balance</t>
  </si>
  <si>
    <t>Limit</t>
  </si>
  <si>
    <t>1st Mortgage - Housing Loan</t>
  </si>
  <si>
    <t>Fixed rate Loan - 037173 216802</t>
  </si>
  <si>
    <t>1) Heather returned by way of mortgage payments since Nov 17 2023:</t>
  </si>
  <si>
    <t>2nd Mortgage - Housing Loan</t>
  </si>
  <si>
    <t>Variable Rate Loan - 037173 25 7671</t>
  </si>
  <si>
    <t>Variable Rate Loan - 037173 25 7671:</t>
  </si>
  <si>
    <t>2) Heather removed using available credit:</t>
  </si>
  <si>
    <t>2nd Mortgage - Offset Account</t>
  </si>
  <si>
    <t>Westpac Choice - 734086 64 5063</t>
  </si>
  <si>
    <t>N/A</t>
  </si>
  <si>
    <t>Westpac Choice - 734086 64 5063:</t>
  </si>
  <si>
    <t>Revoked My Access</t>
  </si>
  <si>
    <t>3) Heather depleted the offset account by:</t>
  </si>
  <si>
    <t>3rd Mortgage - Housing Loan</t>
  </si>
  <si>
    <t>Variable Rate Loan - 037173 25 7778</t>
  </si>
  <si>
    <t>Variable Rate Loan - 037173 25 7778:</t>
  </si>
  <si>
    <t>4) Heather removed using available credit:</t>
  </si>
  <si>
    <t>3rd Mortgage - Offset Account</t>
  </si>
  <si>
    <t>Westpac Choice - 732501 61 2594</t>
  </si>
  <si>
    <t>Westpac Choice - 732501 61 2594:</t>
  </si>
  <si>
    <t>5) Heather depleted offset account in the amount of:</t>
  </si>
  <si>
    <t>Westpac Choice - 732501 645055</t>
  </si>
  <si>
    <t>Westpac Choice - 732501 645055:</t>
  </si>
  <si>
    <t>6) Heather depleted Westpac Choice account by:</t>
  </si>
  <si>
    <t>7) Stephen Cooke deplated where able on November 18th:</t>
  </si>
  <si>
    <t>Grand Total Remove By Heather:</t>
  </si>
  <si>
    <t>Total Mortgage:</t>
  </si>
  <si>
    <t>I was asked to sign a document on November 7 2023 titled the "Game Plan". This document sought to have me commit fraud</t>
  </si>
  <si>
    <t>Its highly irregular to have 3 Mortgages on our martial home! And I have no idea why we have 3 home mortgages?</t>
  </si>
  <si>
    <t>$388,895.85 withdrawn from joint account by Heather an hour prior to the separation, I have been told it's being utilized for business purposes, what business purposes?</t>
  </si>
  <si>
    <t xml:space="preserve"> You do not borrow $3,401.93 and 163967.6 to safeguard against frivolous spending! You borrow to spend! What did Heather buy?</t>
  </si>
  <si>
    <t>Sale agent seems to support assertions from the other side to have me removed from the home.</t>
  </si>
  <si>
    <t>Want to know why we have 3 mortgages on our marital home?</t>
  </si>
  <si>
    <t>f)</t>
  </si>
  <si>
    <t>g)</t>
  </si>
  <si>
    <t>Concerns</t>
  </si>
  <si>
    <t>Strategy</t>
  </si>
  <si>
    <t>I have a whole host of reasonable concerns relating to how the sale of the marital home is being handled and as stipulated in the signed order:</t>
  </si>
  <si>
    <r>
      <t xml:space="preserve">Per the order the Sales Agent is allowed to set the Listing Price and </t>
    </r>
    <r>
      <rPr>
        <b/>
        <u/>
        <sz val="11"/>
        <color theme="1"/>
        <rFont val="Aptos Narrow"/>
        <family val="2"/>
        <scheme val="minor"/>
      </rPr>
      <t>Sale Price</t>
    </r>
    <r>
      <rPr>
        <b/>
        <sz val="11"/>
        <color theme="1"/>
        <rFont val="Aptos Narrow"/>
        <family val="2"/>
        <scheme val="minor"/>
      </rPr>
      <t>!?</t>
    </r>
  </si>
  <si>
    <t>Status of $388,895.85, is it still intact? What has it been spent on? Did she buy into her practice with it?</t>
  </si>
  <si>
    <t>Is there an investment property in Queensland I don't know about? the Game Plan document seems to suggest there may be and it costs about 1 million.</t>
  </si>
  <si>
    <r>
      <t xml:space="preserve">What </t>
    </r>
    <r>
      <rPr>
        <sz val="11"/>
        <color theme="1"/>
        <rFont val="Aptos Narrow"/>
        <family val="2"/>
        <scheme val="minor"/>
      </rPr>
      <t>became of the proceeds from the sale of the first condo 28 9-11 Manning Street South Brisbane?</t>
    </r>
  </si>
  <si>
    <t>Westpac Business Cash Reserve 032-513 316533:</t>
  </si>
  <si>
    <t>Westpac Choice 732-501 612594:</t>
  </si>
  <si>
    <t>Westpac Choice 734-086 645055:</t>
  </si>
  <si>
    <t>Missing: From January 1, 2018, to April 7, 2021 (40 statements)</t>
  </si>
  <si>
    <t>Missing: From October 9, 2021, to October 6, 2022 (13 statements)</t>
  </si>
  <si>
    <t>Have: From October 7 2022 - October 6 2023 (13 statements)</t>
  </si>
  <si>
    <t>Have: From April 8, 2021 - October 8 2021 (66 statements)</t>
  </si>
  <si>
    <t>Westpac Choice 734-086 645063:</t>
  </si>
  <si>
    <t>Have: From April 8, 2022 - December 1, 2023 (20 statements)</t>
  </si>
  <si>
    <t>Missing: From January 1, 2018, to April 7, 2022</t>
  </si>
  <si>
    <t>Joint Accounts:</t>
  </si>
  <si>
    <t>Heather Accounts:</t>
  </si>
  <si>
    <t>How do I and Hugo get access to financials being kept from us by way of court order for period 2023? We also need to go back further until 2018.</t>
  </si>
  <si>
    <t>Where did the proceeds go from the sale of the Condo #1 - 28 9-11 Manning Street South Brisbane</t>
  </si>
  <si>
    <t>What became of the $500k revenue generated from Condo #2 703-1 COMO STREET SOUTHPORT</t>
  </si>
  <si>
    <t>I will request from the bank on Monday the missing statements I am allowed to access.</t>
  </si>
  <si>
    <t xml:space="preserve">However, I am concerned about six of Heather's accounts. We only have disclosures for these accounts for the period of 2023, and they are currently protected by a subpoena or court order. </t>
  </si>
  <si>
    <t>poor i.e. what were the mortgages during this time? What were the reasons for multiple increases?</t>
  </si>
  <si>
    <t>I want to check she hasn't been sending money to family or friends. I'm concerned Heather mom may use marital assets to purchase the marital home for Heather.</t>
  </si>
  <si>
    <t>I'm concerned selling the home, getting to mediation to find Heather no longer has $388,895.85 because she spent it perhaps on buying into a practice?</t>
  </si>
  <si>
    <t>Where did the proceeds of Condo #1 - 28 9-11 Manning Street South Brisbane go?</t>
  </si>
  <si>
    <t>She took this money by two means: 1) by removing cash available 2) by drawing upon available credit. I find it difficult to accept "borrowing" as a means to safe guard against frivolous borrowing!?</t>
  </si>
  <si>
    <t xml:space="preserve">I am worried that Heather is not acting as a reasonable person would when preparing a home for sale, particularly in terms of styling, staging, and applying a fresh </t>
  </si>
  <si>
    <t>coat of paint to the exterior. It appears she may be intentionally trying to lower the home's value.</t>
  </si>
  <si>
    <t>There is an order in effect inhibiting transparency in financial disclosures.</t>
  </si>
  <si>
    <t>Patricia (Heathers Mom) was in the hospital in Feb 2023 for a life threatening condition.</t>
  </si>
  <si>
    <t>When heather sister Carol marriage broke down years ago, during Carols separation, Heather mom Patricia Finn purchased Carol home and ultimately just gave it back to her a year or two ago</t>
  </si>
  <si>
    <t>Was orchestrated behind a closed door meeting with her accountant Simon, Walsh's which excluded me</t>
  </si>
  <si>
    <t>The accountant Simon Farmer, Walsh's has a very good relationship with Heather not I.</t>
  </si>
  <si>
    <t>Even more so considering the current status of the mortgage associated with this condo ending in acct. # 2919</t>
  </si>
  <si>
    <t xml:space="preserve">Southport Condo ought to have generated a total rental income of somewhere in the ballpark of $500,000 during the marriage. Where did this money go? </t>
  </si>
  <si>
    <t>The selection process of an agent was compromised, Heather knows 2 of the 3 agents either directly or by association</t>
  </si>
  <si>
    <t>Sales agent supported Heather in having me pay for repairs I am not responsible for per the signed orders</t>
  </si>
  <si>
    <t>Sales agent pressured me to list home for sale without addressing the front appeared of the home (after advising me they would) nor styling the current barren front balcony and adjacent room</t>
  </si>
  <si>
    <t>Which I have been told by two other sale agents not doing could see price of home reduced anywhere from 100k to 200k</t>
  </si>
  <si>
    <t>I)</t>
  </si>
  <si>
    <t>Need to have this order amended.</t>
  </si>
  <si>
    <t xml:space="preserve">I need Hugo to go back to 2018 on all accounts related to the marital home casting a net long enough to capture the transition from healthy relationship status to extradentary </t>
  </si>
  <si>
    <t>I also need Hugo to go back to 2018 on all accounts related to Southport Condo because clever Heather vey well may have moved money there first before moving it onwards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</si>
</sst>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quot;$&quot;* #,##0.00_-;_-&quot;$&quot;* &quot;-&quot;??_-;_-@_-"/>
  </numFmts>
  <fonts count="7" x14ac:knownFonts="1">
    <font>
      <sz val="11"/>
      <color theme="1"/>
      <name val="Aptos Narrow"/>
      <family val="2"/>
      <scheme val="minor"/>
    </font>
    <font>
      <b/>
      <sz val="11"/>
      <color theme="1"/>
      <name val="Aptos Narrow"/>
      <family val="2"/>
      <scheme val="minor"/>
    </font>
    <font>
      <b/>
      <u/>
      <sz val="11"/>
      <color theme="1"/>
      <name val="Aptos Narrow"/>
      <family val="2"/>
      <scheme val="minor"/>
    </font>
    <font>
      <b/>
      <sz val="14"/>
      <color theme="1"/>
      <name val="Aptos Narrow"/>
      <family val="2"/>
      <scheme val="minor"/>
    </font>
    <font>
      <b/>
      <sz val="12"/>
      <color theme="1"/>
      <name val="Aptos Narrow"/>
      <family val="2"/>
      <scheme val="minor"/>
    </font>
    <font>
      <sz val="12"/>
      <color theme="1"/>
      <name val="Aptos Narrow"/>
      <family val="2"/>
      <scheme val="minor"/>
    </font>
    <font>
      <sz val="14"/>
      <color theme="1"/>
      <name val="Aptos Narrow"/>
      <family val="2"/>
      <scheme val="minor"/>
    </font>
  </fonts>
  <fills count="2">
    <fill>
      <patternFill patternType="none"/>
    </fill>
    <fill>
      <patternFill patternType="gray125"/>
    </fill>
  </fills>
  <borders count="18">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0">
    <xf numFmtId="0" fontId="0" fillId="0" borderId="0" xfId="0"/>
    <xf numFmtId="0" fontId="1" fillId="0" borderId="0" xfId="0" applyFont="1"/>
    <xf numFmtId="0" fontId="1" fillId="0" borderId="2" xfId="0" applyFont="1" applyBorder="1"/>
    <xf numFmtId="0" fontId="1" fillId="0" borderId="1" xfId="0" applyFont="1" applyBorder="1"/>
    <xf numFmtId="0" fontId="1" fillId="0" borderId="7" xfId="0" applyFont="1" applyBorder="1"/>
    <xf numFmtId="0" fontId="1" fillId="0" borderId="6" xfId="0" applyFont="1" applyBorder="1"/>
    <xf numFmtId="0" fontId="1" fillId="0" borderId="8" xfId="0" applyFont="1" applyBorder="1"/>
    <xf numFmtId="0" fontId="0" fillId="0" borderId="8" xfId="0" applyBorder="1"/>
    <xf numFmtId="0" fontId="0" fillId="0" borderId="9" xfId="0" applyBorder="1"/>
    <xf numFmtId="0" fontId="1" fillId="0" borderId="9" xfId="0" applyFont="1" applyBorder="1"/>
    <xf numFmtId="0" fontId="0" fillId="0" borderId="0" xfId="0" applyAlignment="1">
      <alignment horizontal="right"/>
    </xf>
    <xf numFmtId="0" fontId="3" fillId="0" borderId="10" xfId="0" applyFont="1" applyBorder="1" applyAlignment="1">
      <alignment horizontal="left" vertical="center" wrapText="1"/>
    </xf>
    <xf numFmtId="0" fontId="0" fillId="0" borderId="11" xfId="0" applyBorder="1"/>
    <xf numFmtId="44" fontId="0" fillId="0" borderId="11" xfId="0" applyNumberFormat="1" applyBorder="1" applyAlignment="1">
      <alignment horizontal="right"/>
    </xf>
    <xf numFmtId="0" fontId="0" fillId="0" borderId="12" xfId="0" applyBorder="1"/>
    <xf numFmtId="0" fontId="0" fillId="0" borderId="13" xfId="0" applyBorder="1"/>
    <xf numFmtId="0" fontId="1" fillId="0" borderId="5" xfId="0" applyFont="1" applyBorder="1" applyAlignment="1">
      <alignment horizontal="right" vertical="center"/>
    </xf>
    <xf numFmtId="44" fontId="0" fillId="0" borderId="5" xfId="0" applyNumberFormat="1" applyBorder="1" applyAlignment="1">
      <alignment horizontal="right"/>
    </xf>
    <xf numFmtId="0" fontId="0" fillId="0" borderId="5" xfId="0" applyBorder="1" applyAlignment="1">
      <alignment horizontal="right"/>
    </xf>
    <xf numFmtId="0" fontId="1" fillId="0" borderId="5" xfId="0" applyFont="1" applyBorder="1" applyAlignment="1">
      <alignment horizontal="right" vertical="center" wrapText="1"/>
    </xf>
    <xf numFmtId="0" fontId="0" fillId="0" borderId="14" xfId="0" applyBorder="1"/>
    <xf numFmtId="0" fontId="0" fillId="0" borderId="5" xfId="0" applyBorder="1"/>
    <xf numFmtId="0" fontId="0" fillId="0" borderId="5" xfId="0" applyBorder="1" applyAlignment="1">
      <alignment horizontal="right" vertical="center"/>
    </xf>
    <xf numFmtId="44" fontId="1" fillId="0" borderId="5" xfId="0" applyNumberFormat="1" applyFont="1" applyBorder="1" applyAlignment="1">
      <alignment horizontal="right"/>
    </xf>
    <xf numFmtId="44" fontId="0" fillId="0" borderId="5" xfId="0" applyNumberFormat="1" applyBorder="1" applyAlignment="1">
      <alignment horizontal="left"/>
    </xf>
    <xf numFmtId="44" fontId="0" fillId="0" borderId="5" xfId="0" applyNumberFormat="1" applyBorder="1"/>
    <xf numFmtId="44" fontId="1" fillId="0" borderId="5" xfId="0" applyNumberFormat="1" applyFont="1" applyBorder="1" applyAlignment="1">
      <alignment horizontal="right" vertical="top"/>
    </xf>
    <xf numFmtId="44" fontId="1" fillId="0" borderId="5" xfId="0" applyNumberFormat="1" applyFont="1" applyBorder="1"/>
    <xf numFmtId="0" fontId="1" fillId="0" borderId="5" xfId="0" applyFont="1" applyBorder="1" applyAlignment="1">
      <alignment horizontal="right"/>
    </xf>
    <xf numFmtId="44" fontId="1" fillId="0" borderId="0" xfId="0" applyNumberFormat="1" applyFont="1"/>
    <xf numFmtId="0" fontId="0" fillId="0" borderId="15" xfId="0" applyBorder="1"/>
    <xf numFmtId="44" fontId="0" fillId="0" borderId="16" xfId="0" applyNumberFormat="1" applyBorder="1" applyAlignment="1">
      <alignment horizontal="right"/>
    </xf>
    <xf numFmtId="0" fontId="0" fillId="0" borderId="16" xfId="0" applyBorder="1"/>
    <xf numFmtId="4" fontId="0" fillId="0" borderId="16" xfId="0" applyNumberFormat="1" applyBorder="1"/>
    <xf numFmtId="0" fontId="0" fillId="0" borderId="17" xfId="0" applyBorder="1"/>
    <xf numFmtId="44" fontId="0" fillId="0" borderId="0" xfId="0" applyNumberFormat="1" applyAlignment="1">
      <alignment horizontal="right"/>
    </xf>
    <xf numFmtId="44" fontId="1" fillId="0" borderId="0" xfId="0" applyNumberFormat="1" applyFont="1" applyAlignment="1">
      <alignment horizontal="right"/>
    </xf>
    <xf numFmtId="44" fontId="0" fillId="0" borderId="0" xfId="0" applyNumberFormat="1"/>
    <xf numFmtId="44" fontId="0" fillId="0" borderId="0" xfId="0" applyNumberFormat="1" applyAlignment="1">
      <alignment horizontal="left"/>
    </xf>
    <xf numFmtId="4" fontId="0" fillId="0" borderId="0" xfId="0" applyNumberFormat="1"/>
    <xf numFmtId="0" fontId="2" fillId="0" borderId="0" xfId="0" applyFont="1" applyAlignment="1">
      <alignment horizontal="right"/>
    </xf>
    <xf numFmtId="0" fontId="0" fillId="0" borderId="2" xfId="0" applyBorder="1"/>
    <xf numFmtId="0" fontId="0" fillId="0" borderId="6" xfId="0" applyBorder="1"/>
    <xf numFmtId="0" fontId="0" fillId="0" borderId="7" xfId="0" applyBorder="1"/>
    <xf numFmtId="0" fontId="0" fillId="0" borderId="3" xfId="0" applyBorder="1"/>
    <xf numFmtId="0" fontId="0" fillId="0" borderId="4" xfId="0" applyBorder="1"/>
    <xf numFmtId="0" fontId="4" fillId="0" borderId="0" xfId="0" applyFont="1"/>
    <xf numFmtId="0" fontId="5" fillId="0" borderId="0" xfId="0" applyFont="1"/>
    <xf numFmtId="0" fontId="3" fillId="0" borderId="0" xfId="0" applyFo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35859</xdr:colOff>
      <xdr:row>28</xdr:row>
      <xdr:rowOff>71717</xdr:rowOff>
    </xdr:from>
    <xdr:to>
      <xdr:col>5</xdr:col>
      <xdr:colOff>1097216</xdr:colOff>
      <xdr:row>42</xdr:row>
      <xdr:rowOff>142987</xdr:rowOff>
    </xdr:to>
    <xdr:pic>
      <xdr:nvPicPr>
        <xdr:cNvPr id="2" name="Picture 1">
          <a:extLst>
            <a:ext uri="{FF2B5EF4-FFF2-40B4-BE49-F238E27FC236}">
              <a16:creationId xmlns:a16="http://schemas.microsoft.com/office/drawing/2014/main" id="{DF0BBBC3-DA7C-4FD6-8858-08658A8E21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859" y="5428577"/>
          <a:ext cx="7193280" cy="26315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49B3B-F779-4DE3-ACA9-42CEAE4B440B}">
  <dimension ref="A2:C31"/>
  <sheetViews>
    <sheetView topLeftCell="A2" workbookViewId="0">
      <selection activeCell="C6" sqref="C6"/>
    </sheetView>
  </sheetViews>
  <sheetFormatPr defaultRowHeight="14.4" x14ac:dyDescent="0.3"/>
  <cols>
    <col min="1" max="1" width="8.88671875" style="10"/>
    <col min="2" max="2" width="2.5546875" style="10" bestFit="1" customWidth="1"/>
  </cols>
  <sheetData>
    <row r="2" spans="1:3" x14ac:dyDescent="0.3">
      <c r="A2" s="40" t="s">
        <v>94</v>
      </c>
    </row>
    <row r="4" spans="1:3" x14ac:dyDescent="0.3">
      <c r="A4" s="10">
        <v>1</v>
      </c>
      <c r="B4" s="10" t="s">
        <v>41</v>
      </c>
      <c r="C4" t="s">
        <v>137</v>
      </c>
    </row>
    <row r="5" spans="1:3" x14ac:dyDescent="0.3">
      <c r="C5" t="s">
        <v>117</v>
      </c>
    </row>
    <row r="6" spans="1:3" x14ac:dyDescent="0.3">
      <c r="B6" s="10" t="s">
        <v>44</v>
      </c>
      <c r="C6" t="s">
        <v>138</v>
      </c>
    </row>
    <row r="7" spans="1:3" x14ac:dyDescent="0.3">
      <c r="B7" s="10" t="s">
        <v>45</v>
      </c>
      <c r="C7" t="s">
        <v>118</v>
      </c>
    </row>
    <row r="8" spans="1:3" x14ac:dyDescent="0.3">
      <c r="B8" s="10" t="s">
        <v>46</v>
      </c>
      <c r="C8" t="s">
        <v>90</v>
      </c>
    </row>
    <row r="9" spans="1:3" x14ac:dyDescent="0.3">
      <c r="B9" s="10" t="s">
        <v>42</v>
      </c>
      <c r="C9" t="s">
        <v>97</v>
      </c>
    </row>
    <row r="10" spans="1:3" x14ac:dyDescent="0.3">
      <c r="B10" s="10" t="s">
        <v>91</v>
      </c>
      <c r="C10" t="s">
        <v>98</v>
      </c>
    </row>
    <row r="11" spans="1:3" x14ac:dyDescent="0.3">
      <c r="B11" s="10" t="s">
        <v>92</v>
      </c>
      <c r="C11" s="1" t="s">
        <v>112</v>
      </c>
    </row>
    <row r="12" spans="1:3" x14ac:dyDescent="0.3">
      <c r="B12" s="10" t="s">
        <v>43</v>
      </c>
      <c r="C12" t="s">
        <v>114</v>
      </c>
    </row>
    <row r="13" spans="1:3" x14ac:dyDescent="0.3">
      <c r="B13" s="10" t="s">
        <v>135</v>
      </c>
      <c r="C13" t="s">
        <v>113</v>
      </c>
    </row>
    <row r="15" spans="1:3" x14ac:dyDescent="0.3">
      <c r="A15" s="10">
        <v>2</v>
      </c>
      <c r="B15" s="10" t="s">
        <v>41</v>
      </c>
      <c r="C15" t="s">
        <v>115</v>
      </c>
    </row>
    <row r="16" spans="1:3" x14ac:dyDescent="0.3">
      <c r="B16" s="10" t="s">
        <v>44</v>
      </c>
      <c r="C16" t="s">
        <v>116</v>
      </c>
    </row>
    <row r="17" spans="1:3" x14ac:dyDescent="0.3">
      <c r="C17" t="s">
        <v>136</v>
      </c>
    </row>
    <row r="19" spans="1:3" x14ac:dyDescent="0.3">
      <c r="A19" s="10">
        <v>3</v>
      </c>
      <c r="B19" s="10" t="s">
        <v>41</v>
      </c>
      <c r="C19" t="s">
        <v>99</v>
      </c>
    </row>
    <row r="24" spans="1:3" x14ac:dyDescent="0.3">
      <c r="C24" s="1"/>
    </row>
    <row r="31" spans="1:3" x14ac:dyDescent="0.3">
      <c r="C31"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8604C-8787-4D02-AB71-4DD4EE38F305}">
  <dimension ref="A2:C40"/>
  <sheetViews>
    <sheetView workbookViewId="0">
      <selection activeCell="C33" sqref="C33"/>
    </sheetView>
  </sheetViews>
  <sheetFormatPr defaultRowHeight="14.4" x14ac:dyDescent="0.3"/>
  <cols>
    <col min="1" max="1" width="8.88671875" style="10"/>
    <col min="2" max="2" width="2.5546875" style="10" bestFit="1" customWidth="1"/>
  </cols>
  <sheetData>
    <row r="2" spans="1:3" x14ac:dyDescent="0.3">
      <c r="A2" s="40" t="s">
        <v>93</v>
      </c>
    </row>
    <row r="4" spans="1:3" x14ac:dyDescent="0.3">
      <c r="A4" s="10">
        <v>1</v>
      </c>
      <c r="B4" s="10" t="s">
        <v>41</v>
      </c>
      <c r="C4" t="s">
        <v>39</v>
      </c>
    </row>
    <row r="5" spans="1:3" x14ac:dyDescent="0.3">
      <c r="B5" s="10" t="s">
        <v>44</v>
      </c>
      <c r="C5" t="s">
        <v>125</v>
      </c>
    </row>
    <row r="6" spans="1:3" x14ac:dyDescent="0.3">
      <c r="B6" s="10" t="s">
        <v>45</v>
      </c>
      <c r="C6" t="s">
        <v>40</v>
      </c>
    </row>
    <row r="7" spans="1:3" x14ac:dyDescent="0.3">
      <c r="C7" t="s">
        <v>37</v>
      </c>
    </row>
    <row r="8" spans="1:3" x14ac:dyDescent="0.3">
      <c r="C8" t="s">
        <v>38</v>
      </c>
    </row>
    <row r="9" spans="1:3" x14ac:dyDescent="0.3">
      <c r="C9" s="1" t="s">
        <v>47</v>
      </c>
    </row>
    <row r="10" spans="1:3" x14ac:dyDescent="0.3">
      <c r="C10" s="1" t="s">
        <v>48</v>
      </c>
    </row>
    <row r="11" spans="1:3" x14ac:dyDescent="0.3">
      <c r="B11" s="10" t="s">
        <v>46</v>
      </c>
      <c r="C11" s="1" t="s">
        <v>126</v>
      </c>
    </row>
    <row r="13" spans="1:3" x14ac:dyDescent="0.3">
      <c r="A13" s="10">
        <v>2</v>
      </c>
      <c r="B13" s="10" t="s">
        <v>49</v>
      </c>
      <c r="C13" s="1" t="s">
        <v>85</v>
      </c>
    </row>
    <row r="14" spans="1:3" x14ac:dyDescent="0.3">
      <c r="B14" s="10" t="s">
        <v>44</v>
      </c>
      <c r="C14" t="s">
        <v>127</v>
      </c>
    </row>
    <row r="15" spans="1:3" x14ac:dyDescent="0.3">
      <c r="B15" s="10" t="s">
        <v>45</v>
      </c>
      <c r="C15" t="s">
        <v>50</v>
      </c>
    </row>
    <row r="16" spans="1:3" x14ac:dyDescent="0.3">
      <c r="C16" t="s">
        <v>51</v>
      </c>
    </row>
    <row r="17" spans="1:3" x14ac:dyDescent="0.3">
      <c r="B17" s="10" t="s">
        <v>46</v>
      </c>
      <c r="C17" s="1" t="s">
        <v>128</v>
      </c>
    </row>
    <row r="19" spans="1:3" x14ac:dyDescent="0.3">
      <c r="A19" s="10">
        <v>3</v>
      </c>
      <c r="B19" s="10" t="s">
        <v>41</v>
      </c>
      <c r="C19" s="1" t="s">
        <v>86</v>
      </c>
    </row>
    <row r="20" spans="1:3" x14ac:dyDescent="0.3">
      <c r="B20" s="10" t="s">
        <v>44</v>
      </c>
      <c r="C20" t="s">
        <v>129</v>
      </c>
    </row>
    <row r="21" spans="1:3" x14ac:dyDescent="0.3">
      <c r="B21" s="10" t="s">
        <v>45</v>
      </c>
      <c r="C21" t="s">
        <v>130</v>
      </c>
    </row>
    <row r="22" spans="1:3" x14ac:dyDescent="0.3">
      <c r="B22" s="10" t="s">
        <v>46</v>
      </c>
      <c r="C22" t="s">
        <v>120</v>
      </c>
    </row>
    <row r="24" spans="1:3" x14ac:dyDescent="0.3">
      <c r="A24" s="10">
        <v>4</v>
      </c>
      <c r="B24" s="10" t="s">
        <v>41</v>
      </c>
      <c r="C24" t="s">
        <v>87</v>
      </c>
    </row>
    <row r="25" spans="1:3" x14ac:dyDescent="0.3">
      <c r="B25" s="10" t="s">
        <v>44</v>
      </c>
      <c r="C25" s="1" t="s">
        <v>121</v>
      </c>
    </row>
    <row r="26" spans="1:3" x14ac:dyDescent="0.3">
      <c r="C26" s="1" t="s">
        <v>88</v>
      </c>
    </row>
    <row r="28" spans="1:3" x14ac:dyDescent="0.3">
      <c r="A28" s="10">
        <v>5</v>
      </c>
      <c r="C28" t="s">
        <v>95</v>
      </c>
    </row>
    <row r="29" spans="1:3" x14ac:dyDescent="0.3">
      <c r="B29" s="10" t="s">
        <v>41</v>
      </c>
      <c r="C29" t="s">
        <v>131</v>
      </c>
    </row>
    <row r="30" spans="1:3" x14ac:dyDescent="0.3">
      <c r="B30" s="10" t="s">
        <v>44</v>
      </c>
      <c r="C30" t="s">
        <v>89</v>
      </c>
    </row>
    <row r="31" spans="1:3" x14ac:dyDescent="0.3">
      <c r="B31" s="10" t="s">
        <v>45</v>
      </c>
      <c r="C31" t="s">
        <v>132</v>
      </c>
    </row>
    <row r="32" spans="1:3" x14ac:dyDescent="0.3">
      <c r="B32" s="10" t="s">
        <v>46</v>
      </c>
      <c r="C32" t="s">
        <v>133</v>
      </c>
    </row>
    <row r="33" spans="1:3" x14ac:dyDescent="0.3">
      <c r="C33" s="1" t="s">
        <v>134</v>
      </c>
    </row>
    <row r="34" spans="1:3" x14ac:dyDescent="0.3">
      <c r="B34" s="10" t="s">
        <v>42</v>
      </c>
      <c r="C34" t="s">
        <v>96</v>
      </c>
    </row>
    <row r="36" spans="1:3" x14ac:dyDescent="0.3">
      <c r="A36" s="10">
        <v>6</v>
      </c>
      <c r="B36" s="10" t="s">
        <v>41</v>
      </c>
      <c r="C36" t="s">
        <v>119</v>
      </c>
    </row>
    <row r="37" spans="1:3" x14ac:dyDescent="0.3">
      <c r="B37" s="10" t="s">
        <v>44</v>
      </c>
      <c r="C37" t="s">
        <v>122</v>
      </c>
    </row>
    <row r="38" spans="1:3" x14ac:dyDescent="0.3">
      <c r="C38" t="s">
        <v>123</v>
      </c>
    </row>
    <row r="40" spans="1:3" x14ac:dyDescent="0.3">
      <c r="A40" s="10">
        <v>7</v>
      </c>
      <c r="B40" s="10" t="s">
        <v>41</v>
      </c>
      <c r="C40" t="s">
        <v>124</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89DA4-ED48-4618-BD8B-A213E3F71478}">
  <dimension ref="A1:N48"/>
  <sheetViews>
    <sheetView zoomScale="85" zoomScaleNormal="85" workbookViewId="0">
      <selection activeCell="B12" sqref="B12"/>
    </sheetView>
  </sheetViews>
  <sheetFormatPr defaultRowHeight="14.4" x14ac:dyDescent="0.3"/>
  <cols>
    <col min="1" max="1" width="8.5546875" customWidth="1"/>
    <col min="2" max="2" width="79.5546875" bestFit="1" customWidth="1"/>
    <col min="3" max="3" width="8.88671875" customWidth="1"/>
  </cols>
  <sheetData>
    <row r="1" spans="1:9" s="47" customFormat="1" ht="15.6" x14ac:dyDescent="0.3">
      <c r="A1" s="46" t="s">
        <v>2</v>
      </c>
    </row>
    <row r="3" spans="1:9" s="49" customFormat="1" ht="18" x14ac:dyDescent="0.35">
      <c r="B3" s="48" t="s">
        <v>110</v>
      </c>
    </row>
    <row r="4" spans="1:9" x14ac:dyDescent="0.3">
      <c r="B4" s="3" t="s">
        <v>1</v>
      </c>
      <c r="C4" s="2" t="s">
        <v>16</v>
      </c>
      <c r="D4" s="6"/>
      <c r="E4" s="7"/>
      <c r="F4" s="7"/>
      <c r="G4" s="7"/>
      <c r="H4" s="7"/>
      <c r="I4" s="41"/>
    </row>
    <row r="5" spans="1:9" x14ac:dyDescent="0.3">
      <c r="B5" s="42"/>
      <c r="C5" s="43" t="s">
        <v>22</v>
      </c>
      <c r="E5" s="1"/>
      <c r="I5" s="43"/>
    </row>
    <row r="6" spans="1:9" x14ac:dyDescent="0.3">
      <c r="B6" s="42"/>
      <c r="C6" s="4" t="s">
        <v>17</v>
      </c>
      <c r="I6" s="43"/>
    </row>
    <row r="7" spans="1:9" x14ac:dyDescent="0.3">
      <c r="B7" s="44"/>
      <c r="C7" s="45" t="s">
        <v>28</v>
      </c>
      <c r="D7" s="8"/>
      <c r="E7" s="8"/>
      <c r="F7" s="8"/>
      <c r="G7" s="8"/>
      <c r="H7" s="8"/>
      <c r="I7" s="45"/>
    </row>
    <row r="9" spans="1:9" x14ac:dyDescent="0.3">
      <c r="B9" s="3" t="s">
        <v>11</v>
      </c>
      <c r="C9" s="7" t="s">
        <v>34</v>
      </c>
      <c r="D9" s="7"/>
      <c r="E9" s="7"/>
      <c r="F9" s="7"/>
      <c r="G9" s="7"/>
      <c r="H9" s="7"/>
      <c r="I9" s="41"/>
    </row>
    <row r="10" spans="1:9" x14ac:dyDescent="0.3">
      <c r="B10" s="42"/>
      <c r="C10" s="1" t="s">
        <v>7</v>
      </c>
      <c r="I10" s="43"/>
    </row>
    <row r="11" spans="1:9" x14ac:dyDescent="0.3">
      <c r="B11" s="42"/>
      <c r="C11" s="1" t="s">
        <v>6</v>
      </c>
      <c r="I11" s="43"/>
    </row>
    <row r="12" spans="1:9" x14ac:dyDescent="0.3">
      <c r="B12" s="42"/>
      <c r="C12" t="s">
        <v>33</v>
      </c>
      <c r="I12" s="43"/>
    </row>
    <row r="13" spans="1:9" x14ac:dyDescent="0.3">
      <c r="B13" s="44"/>
      <c r="C13" s="8" t="s">
        <v>30</v>
      </c>
      <c r="D13" s="8"/>
      <c r="E13" s="8"/>
      <c r="F13" s="8"/>
      <c r="G13" s="8"/>
      <c r="H13" s="8"/>
      <c r="I13" s="45"/>
    </row>
    <row r="15" spans="1:9" x14ac:dyDescent="0.3">
      <c r="B15" s="3" t="s">
        <v>10</v>
      </c>
      <c r="C15" s="2" t="s">
        <v>13</v>
      </c>
      <c r="D15" s="6"/>
      <c r="E15" s="7"/>
      <c r="F15" s="7"/>
      <c r="G15" s="7"/>
      <c r="H15" s="7"/>
      <c r="I15" s="41"/>
    </row>
    <row r="16" spans="1:9" x14ac:dyDescent="0.3">
      <c r="B16" s="42"/>
      <c r="C16" s="43" t="s">
        <v>36</v>
      </c>
      <c r="I16" s="43"/>
    </row>
    <row r="17" spans="2:13" x14ac:dyDescent="0.3">
      <c r="B17" s="42"/>
      <c r="C17" s="4" t="s">
        <v>14</v>
      </c>
      <c r="I17" s="43"/>
    </row>
    <row r="18" spans="2:13" x14ac:dyDescent="0.3">
      <c r="B18" s="42"/>
      <c r="C18" s="43" t="s">
        <v>23</v>
      </c>
      <c r="I18" s="43"/>
    </row>
    <row r="19" spans="2:13" x14ac:dyDescent="0.3">
      <c r="B19" s="42"/>
      <c r="C19" s="4" t="s">
        <v>15</v>
      </c>
      <c r="I19" s="43"/>
    </row>
    <row r="20" spans="2:13" x14ac:dyDescent="0.3">
      <c r="B20" s="42"/>
      <c r="C20" s="43" t="s">
        <v>24</v>
      </c>
      <c r="I20" s="43"/>
    </row>
    <row r="21" spans="2:13" x14ac:dyDescent="0.3">
      <c r="B21" s="42"/>
      <c r="C21" s="4" t="s">
        <v>9</v>
      </c>
      <c r="I21" s="43"/>
    </row>
    <row r="22" spans="2:13" x14ac:dyDescent="0.3">
      <c r="B22" s="42"/>
      <c r="C22" s="43" t="s">
        <v>35</v>
      </c>
      <c r="I22" s="43"/>
    </row>
    <row r="23" spans="2:13" x14ac:dyDescent="0.3">
      <c r="B23" s="44"/>
      <c r="C23" s="45" t="s">
        <v>29</v>
      </c>
      <c r="D23" s="8"/>
      <c r="E23" s="8"/>
      <c r="F23" s="8"/>
      <c r="G23" s="8"/>
      <c r="H23" s="8"/>
      <c r="I23" s="45"/>
    </row>
    <row r="25" spans="2:13" s="49" customFormat="1" ht="18" x14ac:dyDescent="0.35">
      <c r="B25" s="48" t="s">
        <v>111</v>
      </c>
    </row>
    <row r="26" spans="2:13" x14ac:dyDescent="0.3">
      <c r="B26" s="3" t="s">
        <v>12</v>
      </c>
      <c r="C26" s="7" t="s">
        <v>32</v>
      </c>
      <c r="D26" s="7"/>
      <c r="E26" s="7"/>
      <c r="F26" s="7"/>
      <c r="G26" s="7"/>
      <c r="H26" s="7"/>
      <c r="I26" s="41"/>
    </row>
    <row r="27" spans="2:13" x14ac:dyDescent="0.3">
      <c r="B27" s="5" t="s">
        <v>20</v>
      </c>
      <c r="C27" s="1" t="s">
        <v>4</v>
      </c>
      <c r="I27" s="43"/>
    </row>
    <row r="28" spans="2:13" x14ac:dyDescent="0.3">
      <c r="B28" s="42"/>
      <c r="C28" s="1" t="s">
        <v>5</v>
      </c>
      <c r="I28" s="43"/>
    </row>
    <row r="29" spans="2:13" x14ac:dyDescent="0.3">
      <c r="B29" s="44"/>
      <c r="C29" s="8" t="s">
        <v>31</v>
      </c>
      <c r="D29" s="8"/>
      <c r="E29" s="8"/>
      <c r="F29" s="8"/>
      <c r="G29" s="8"/>
      <c r="H29" s="8"/>
      <c r="I29" s="45"/>
    </row>
    <row r="31" spans="2:13" x14ac:dyDescent="0.3">
      <c r="B31" s="3" t="s">
        <v>100</v>
      </c>
      <c r="C31" s="6" t="s">
        <v>8</v>
      </c>
      <c r="D31" s="7"/>
      <c r="E31" s="7"/>
      <c r="F31" s="7"/>
      <c r="G31" s="7"/>
      <c r="H31" s="7"/>
      <c r="I31" s="7"/>
      <c r="J31" s="7"/>
      <c r="K31" s="7"/>
      <c r="L31" s="7"/>
      <c r="M31" s="41"/>
    </row>
    <row r="32" spans="2:13" x14ac:dyDescent="0.3">
      <c r="B32" s="44"/>
      <c r="C32" s="8" t="s">
        <v>25</v>
      </c>
      <c r="D32" s="8"/>
      <c r="E32" s="8"/>
      <c r="F32" s="8"/>
      <c r="G32" s="8"/>
      <c r="H32" s="8"/>
      <c r="I32" s="8"/>
      <c r="J32" s="8"/>
      <c r="K32" s="8"/>
      <c r="L32" s="8"/>
      <c r="M32" s="45"/>
    </row>
    <row r="34" spans="2:14" x14ac:dyDescent="0.3">
      <c r="B34" s="3" t="s">
        <v>101</v>
      </c>
      <c r="C34" s="7" t="s">
        <v>26</v>
      </c>
      <c r="D34" s="7"/>
      <c r="E34" s="7"/>
      <c r="F34" s="7"/>
      <c r="G34" s="7"/>
      <c r="H34" s="7"/>
      <c r="I34" s="7"/>
      <c r="J34" s="7"/>
      <c r="K34" s="7"/>
      <c r="L34" s="7"/>
      <c r="M34" s="7"/>
      <c r="N34" s="41"/>
    </row>
    <row r="35" spans="2:14" x14ac:dyDescent="0.3">
      <c r="B35" s="44"/>
      <c r="C35" s="9" t="s">
        <v>3</v>
      </c>
      <c r="D35" s="8"/>
      <c r="E35" s="8"/>
      <c r="F35" s="8"/>
      <c r="G35" s="8"/>
      <c r="H35" s="8"/>
      <c r="I35" s="8"/>
      <c r="J35" s="8"/>
      <c r="K35" s="8"/>
      <c r="L35" s="8"/>
      <c r="M35" s="8"/>
      <c r="N35" s="45"/>
    </row>
    <row r="37" spans="2:14" x14ac:dyDescent="0.3">
      <c r="B37" s="3" t="s">
        <v>102</v>
      </c>
      <c r="C37" s="6" t="s">
        <v>103</v>
      </c>
      <c r="D37" s="7"/>
      <c r="E37" s="7"/>
      <c r="F37" s="7"/>
      <c r="G37" s="7"/>
      <c r="H37" s="7"/>
      <c r="I37" s="41"/>
    </row>
    <row r="38" spans="2:14" x14ac:dyDescent="0.3">
      <c r="B38" s="42"/>
      <c r="C38" t="s">
        <v>106</v>
      </c>
      <c r="I38" s="43"/>
    </row>
    <row r="39" spans="2:14" x14ac:dyDescent="0.3">
      <c r="B39" s="42"/>
      <c r="C39" s="1" t="s">
        <v>104</v>
      </c>
      <c r="I39" s="43"/>
    </row>
    <row r="40" spans="2:14" x14ac:dyDescent="0.3">
      <c r="B40" s="44"/>
      <c r="C40" s="8" t="s">
        <v>105</v>
      </c>
      <c r="D40" s="8"/>
      <c r="E40" s="8"/>
      <c r="F40" s="8"/>
      <c r="G40" s="8"/>
      <c r="H40" s="8"/>
      <c r="I40" s="45"/>
    </row>
    <row r="42" spans="2:14" x14ac:dyDescent="0.3">
      <c r="B42" s="3" t="s">
        <v>107</v>
      </c>
      <c r="C42" s="6" t="s">
        <v>109</v>
      </c>
      <c r="D42" s="7"/>
      <c r="E42" s="7"/>
      <c r="F42" s="7"/>
      <c r="G42" s="7"/>
      <c r="H42" s="7"/>
      <c r="I42" s="41"/>
    </row>
    <row r="43" spans="2:14" x14ac:dyDescent="0.3">
      <c r="B43" s="44"/>
      <c r="C43" s="8" t="s">
        <v>108</v>
      </c>
      <c r="D43" s="8"/>
      <c r="E43" s="8"/>
      <c r="F43" s="8"/>
      <c r="G43" s="8"/>
      <c r="H43" s="8"/>
      <c r="I43" s="45"/>
    </row>
    <row r="45" spans="2:14" x14ac:dyDescent="0.3">
      <c r="B45" s="3" t="s">
        <v>0</v>
      </c>
      <c r="C45" s="2" t="s">
        <v>18</v>
      </c>
      <c r="D45" s="7"/>
      <c r="E45" s="7"/>
      <c r="F45" s="7"/>
      <c r="G45" s="7"/>
      <c r="H45" s="7"/>
      <c r="I45" s="41"/>
    </row>
    <row r="46" spans="2:14" x14ac:dyDescent="0.3">
      <c r="B46" s="42"/>
      <c r="C46" s="43" t="s">
        <v>27</v>
      </c>
      <c r="I46" s="43"/>
    </row>
    <row r="47" spans="2:14" x14ac:dyDescent="0.3">
      <c r="B47" s="42"/>
      <c r="C47" s="4" t="s">
        <v>19</v>
      </c>
      <c r="I47" s="43"/>
    </row>
    <row r="48" spans="2:14" x14ac:dyDescent="0.3">
      <c r="B48" s="44"/>
      <c r="C48" s="45" t="s">
        <v>21</v>
      </c>
      <c r="D48" s="8"/>
      <c r="E48" s="8"/>
      <c r="F48" s="8"/>
      <c r="G48" s="8"/>
      <c r="H48" s="8"/>
      <c r="I48" s="4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D6341-D110-4995-879F-72906DE5E8B5}">
  <dimension ref="A1:N35"/>
  <sheetViews>
    <sheetView tabSelected="1" zoomScale="70" zoomScaleNormal="70" workbookViewId="0">
      <selection activeCell="L31" sqref="L31"/>
    </sheetView>
  </sheetViews>
  <sheetFormatPr defaultRowHeight="14.4" x14ac:dyDescent="0.3"/>
  <cols>
    <col min="1" max="1" width="27.109375" customWidth="1"/>
    <col min="2" max="2" width="32.88671875" style="35" bestFit="1" customWidth="1"/>
    <col min="3" max="3" width="13.33203125" style="35" bestFit="1" customWidth="1"/>
    <col min="4" max="4" width="15.21875" customWidth="1"/>
    <col min="5" max="5" width="0.88671875" customWidth="1"/>
    <col min="6" max="6" width="32.88671875" style="35" bestFit="1" customWidth="1"/>
    <col min="7" max="7" width="15" style="35" bestFit="1" customWidth="1"/>
    <col min="8" max="8" width="13.33203125" bestFit="1" customWidth="1"/>
    <col min="9" max="9" width="0.88671875" customWidth="1"/>
    <col min="10" max="10" width="32.88671875" style="35" bestFit="1" customWidth="1"/>
    <col min="11" max="11" width="19.88671875" style="35" bestFit="1" customWidth="1"/>
    <col min="12" max="12" width="13.33203125" bestFit="1" customWidth="1"/>
    <col min="13" max="13" width="0.88671875" customWidth="1"/>
    <col min="14" max="14" width="10.88671875" bestFit="1" customWidth="1"/>
    <col min="15" max="15" width="12.6640625" bestFit="1" customWidth="1"/>
  </cols>
  <sheetData>
    <row r="1" spans="1:14" ht="51.6" x14ac:dyDescent="0.3">
      <c r="A1" s="11" t="s">
        <v>52</v>
      </c>
      <c r="B1" s="12"/>
      <c r="C1" s="13"/>
      <c r="D1" s="13"/>
      <c r="E1" s="12"/>
      <c r="F1" s="12"/>
      <c r="G1" s="13"/>
      <c r="H1" s="13"/>
      <c r="I1" s="12"/>
      <c r="J1" s="12"/>
      <c r="K1" s="13"/>
      <c r="L1" s="13"/>
      <c r="M1" s="14"/>
    </row>
    <row r="2" spans="1:14" ht="28.8" x14ac:dyDescent="0.3">
      <c r="A2" s="15"/>
      <c r="B2" s="16" t="s">
        <v>53</v>
      </c>
      <c r="C2" s="17"/>
      <c r="D2" s="17"/>
      <c r="E2" s="18"/>
      <c r="F2" s="19" t="s">
        <v>54</v>
      </c>
      <c r="G2" s="17"/>
      <c r="H2" s="17"/>
      <c r="I2" s="18"/>
      <c r="J2" s="19" t="s">
        <v>55</v>
      </c>
      <c r="K2" s="17"/>
      <c r="L2" s="17"/>
      <c r="M2" s="20"/>
    </row>
    <row r="3" spans="1:14" x14ac:dyDescent="0.3">
      <c r="A3" s="15"/>
      <c r="B3" s="21"/>
      <c r="C3" s="17" t="s">
        <v>56</v>
      </c>
      <c r="D3" s="17" t="s">
        <v>57</v>
      </c>
      <c r="E3" s="21"/>
      <c r="F3" s="21"/>
      <c r="G3" s="17" t="s">
        <v>56</v>
      </c>
      <c r="H3" s="17" t="s">
        <v>57</v>
      </c>
      <c r="I3" s="21"/>
      <c r="J3" s="18"/>
      <c r="K3" s="17" t="s">
        <v>56</v>
      </c>
      <c r="L3" s="17" t="s">
        <v>57</v>
      </c>
      <c r="M3" s="20"/>
    </row>
    <row r="4" spans="1:14" x14ac:dyDescent="0.3">
      <c r="A4" s="15" t="s">
        <v>58</v>
      </c>
      <c r="B4" s="22" t="s">
        <v>59</v>
      </c>
      <c r="C4" s="17">
        <f>0-607262.15</f>
        <v>-607262.15</v>
      </c>
      <c r="D4" s="17">
        <f>0-610411.64</f>
        <v>-610411.64</v>
      </c>
      <c r="E4" s="21"/>
      <c r="F4" s="22" t="s">
        <v>59</v>
      </c>
      <c r="G4" s="17">
        <f>0-609220.41</f>
        <v>-609220.41</v>
      </c>
      <c r="H4" s="17">
        <f>0-610411.64</f>
        <v>-610411.64</v>
      </c>
      <c r="I4" s="21"/>
      <c r="J4" s="22" t="s">
        <v>59</v>
      </c>
      <c r="K4" s="17">
        <f>0-597067.24</f>
        <v>-597067.24</v>
      </c>
      <c r="L4" s="17">
        <v>610411.64</v>
      </c>
      <c r="M4" s="20"/>
    </row>
    <row r="5" spans="1:14" x14ac:dyDescent="0.3">
      <c r="A5" s="15"/>
      <c r="B5" s="18"/>
      <c r="C5" s="21"/>
      <c r="D5" s="21"/>
      <c r="E5" s="21"/>
      <c r="F5" s="16" t="s">
        <v>60</v>
      </c>
      <c r="G5" s="23">
        <f>C4-K4</f>
        <v>-10194.910000000033</v>
      </c>
      <c r="H5" s="21"/>
      <c r="I5" s="21"/>
      <c r="J5" s="18"/>
      <c r="K5" s="21"/>
      <c r="L5" s="21"/>
      <c r="M5" s="20"/>
    </row>
    <row r="6" spans="1:14" ht="10.050000000000001" customHeight="1" x14ac:dyDescent="0.3">
      <c r="A6" s="15"/>
      <c r="B6" s="17"/>
      <c r="C6" s="17"/>
      <c r="D6" s="21"/>
      <c r="E6" s="21"/>
      <c r="F6" s="17"/>
      <c r="G6" s="17"/>
      <c r="H6" s="21"/>
      <c r="I6" s="21"/>
      <c r="J6" s="17"/>
      <c r="K6" s="17"/>
      <c r="L6" s="21"/>
      <c r="M6" s="20"/>
    </row>
    <row r="7" spans="1:14" x14ac:dyDescent="0.3">
      <c r="A7" s="15" t="s">
        <v>61</v>
      </c>
      <c r="B7" s="18" t="s">
        <v>62</v>
      </c>
      <c r="C7" s="17">
        <f>0-184000</f>
        <v>-184000</v>
      </c>
      <c r="D7" s="17">
        <f>0-189000</f>
        <v>-189000</v>
      </c>
      <c r="E7" s="21"/>
      <c r="F7" s="18" t="s">
        <v>63</v>
      </c>
      <c r="G7" s="17">
        <f>0-189000</f>
        <v>-189000</v>
      </c>
      <c r="H7" s="17">
        <f>0-189000</f>
        <v>-189000</v>
      </c>
      <c r="I7" s="21"/>
      <c r="J7" s="18" t="s">
        <v>62</v>
      </c>
      <c r="K7" s="17">
        <f>0-187401.93</f>
        <v>-187401.93</v>
      </c>
      <c r="L7" s="17">
        <f>0-189000</f>
        <v>-189000</v>
      </c>
      <c r="M7" s="20"/>
    </row>
    <row r="8" spans="1:14" x14ac:dyDescent="0.3">
      <c r="A8" s="15"/>
      <c r="B8" s="21"/>
      <c r="C8" s="17"/>
      <c r="D8" s="21"/>
      <c r="E8" s="21"/>
      <c r="F8" s="23" t="s">
        <v>64</v>
      </c>
      <c r="G8" s="23">
        <f>K7-C7</f>
        <v>-3401.929999999993</v>
      </c>
      <c r="H8" s="24"/>
      <c r="I8" s="21"/>
      <c r="J8" s="21"/>
      <c r="K8" s="21"/>
      <c r="L8" s="21"/>
      <c r="M8" s="20"/>
      <c r="N8" s="39"/>
    </row>
    <row r="9" spans="1:14" ht="10.050000000000001" customHeight="1" x14ac:dyDescent="0.3">
      <c r="A9" s="15"/>
      <c r="B9" s="21"/>
      <c r="C9" s="21"/>
      <c r="D9" s="21"/>
      <c r="E9" s="21"/>
      <c r="F9" s="21"/>
      <c r="G9" s="21"/>
      <c r="H9" s="21"/>
      <c r="I9" s="21"/>
      <c r="J9" s="21"/>
      <c r="K9" s="21"/>
      <c r="L9" s="21"/>
      <c r="M9" s="20"/>
    </row>
    <row r="10" spans="1:14" x14ac:dyDescent="0.3">
      <c r="A10" s="15" t="s">
        <v>65</v>
      </c>
      <c r="B10" s="18" t="s">
        <v>66</v>
      </c>
      <c r="C10" s="17">
        <v>178201.51</v>
      </c>
      <c r="D10" s="17" t="s">
        <v>67</v>
      </c>
      <c r="E10" s="21"/>
      <c r="F10" s="18" t="s">
        <v>68</v>
      </c>
      <c r="G10" s="17">
        <v>201.51</v>
      </c>
      <c r="H10" s="17" t="s">
        <v>67</v>
      </c>
      <c r="I10" s="21"/>
      <c r="J10" s="18" t="s">
        <v>66</v>
      </c>
      <c r="K10" s="23" t="s">
        <v>69</v>
      </c>
      <c r="L10" s="17" t="s">
        <v>67</v>
      </c>
      <c r="M10" s="20"/>
    </row>
    <row r="11" spans="1:14" x14ac:dyDescent="0.3">
      <c r="A11" s="15"/>
      <c r="B11" s="21"/>
      <c r="C11" s="25"/>
      <c r="D11" s="21"/>
      <c r="E11" s="21"/>
      <c r="F11" s="26" t="s">
        <v>70</v>
      </c>
      <c r="G11" s="23">
        <f>0-178201.51</f>
        <v>-178201.51</v>
      </c>
      <c r="H11" s="24"/>
      <c r="I11" s="21"/>
      <c r="J11" s="21"/>
      <c r="K11" s="17"/>
      <c r="L11" s="17"/>
      <c r="M11" s="20"/>
    </row>
    <row r="12" spans="1:14" ht="10.050000000000001" customHeight="1" x14ac:dyDescent="0.3">
      <c r="A12" s="15"/>
      <c r="B12" s="21"/>
      <c r="C12" s="21"/>
      <c r="D12" s="21"/>
      <c r="E12" s="21"/>
      <c r="F12" s="21"/>
      <c r="G12" s="21"/>
      <c r="H12" s="21"/>
      <c r="I12" s="21"/>
      <c r="J12" s="21"/>
      <c r="K12" s="21"/>
      <c r="L12" s="21"/>
      <c r="M12" s="20"/>
    </row>
    <row r="13" spans="1:14" x14ac:dyDescent="0.3">
      <c r="A13" s="15" t="s">
        <v>71</v>
      </c>
      <c r="B13" s="18" t="s">
        <v>72</v>
      </c>
      <c r="C13" s="17">
        <f>0-84821.24</f>
        <v>-84821.24</v>
      </c>
      <c r="D13" s="17">
        <v>250858.68</v>
      </c>
      <c r="E13" s="21"/>
      <c r="F13" s="18" t="s">
        <v>73</v>
      </c>
      <c r="G13" s="17">
        <f>0-250858.24</f>
        <v>-250858.23999999999</v>
      </c>
      <c r="H13" s="17">
        <v>250858.68</v>
      </c>
      <c r="I13" s="21"/>
      <c r="J13" s="18" t="s">
        <v>72</v>
      </c>
      <c r="K13" s="17">
        <f>0-248788.84</f>
        <v>-248788.84</v>
      </c>
      <c r="L13" s="17">
        <v>250858.68</v>
      </c>
      <c r="M13" s="20"/>
      <c r="N13" s="39"/>
    </row>
    <row r="14" spans="1:14" x14ac:dyDescent="0.3">
      <c r="A14" s="15"/>
      <c r="B14" s="21"/>
      <c r="C14" s="25"/>
      <c r="D14" s="21"/>
      <c r="E14" s="21"/>
      <c r="F14" s="23" t="s">
        <v>74</v>
      </c>
      <c r="G14" s="23">
        <f>K13-C13</f>
        <v>-163967.59999999998</v>
      </c>
      <c r="H14" s="17"/>
      <c r="I14" s="21"/>
      <c r="J14" s="18"/>
      <c r="K14" s="25"/>
      <c r="L14" s="25"/>
      <c r="M14" s="20"/>
    </row>
    <row r="15" spans="1:14" ht="10.050000000000001" customHeight="1" x14ac:dyDescent="0.3">
      <c r="A15" s="15"/>
      <c r="B15" s="21"/>
      <c r="C15" s="17"/>
      <c r="D15" s="21"/>
      <c r="E15" s="21"/>
      <c r="F15" s="17"/>
      <c r="G15" s="17"/>
      <c r="H15" s="21"/>
      <c r="I15" s="21"/>
      <c r="J15" s="17"/>
      <c r="K15" s="17"/>
      <c r="L15" s="21"/>
      <c r="M15" s="20"/>
    </row>
    <row r="16" spans="1:14" x14ac:dyDescent="0.3">
      <c r="A16" s="15" t="s">
        <v>75</v>
      </c>
      <c r="B16" s="18" t="s">
        <v>76</v>
      </c>
      <c r="C16" s="17">
        <v>38470.58</v>
      </c>
      <c r="D16" s="17" t="s">
        <v>67</v>
      </c>
      <c r="E16" s="21"/>
      <c r="F16" s="18" t="s">
        <v>77</v>
      </c>
      <c r="G16" s="17">
        <v>4525.26</v>
      </c>
      <c r="H16" s="17" t="s">
        <v>67</v>
      </c>
      <c r="I16" s="21"/>
      <c r="J16" s="18" t="s">
        <v>76</v>
      </c>
      <c r="K16" s="23" t="s">
        <v>69</v>
      </c>
      <c r="L16" s="17" t="s">
        <v>67</v>
      </c>
      <c r="M16" s="20"/>
    </row>
    <row r="17" spans="1:13" x14ac:dyDescent="0.3">
      <c r="A17" s="15"/>
      <c r="B17" s="21"/>
      <c r="C17" s="21"/>
      <c r="D17" s="21"/>
      <c r="E17" s="21"/>
      <c r="F17" s="23" t="s">
        <v>78</v>
      </c>
      <c r="G17" s="27">
        <f>0-38470.58</f>
        <v>-38470.58</v>
      </c>
      <c r="H17" s="21"/>
      <c r="I17" s="21"/>
      <c r="J17" s="21"/>
      <c r="K17" s="21"/>
      <c r="L17" s="21"/>
      <c r="M17" s="20"/>
    </row>
    <row r="18" spans="1:13" ht="10.050000000000001" customHeight="1" x14ac:dyDescent="0.3">
      <c r="A18" s="15"/>
      <c r="B18" s="17"/>
      <c r="C18" s="17"/>
      <c r="D18" s="21"/>
      <c r="E18" s="21"/>
      <c r="F18" s="17"/>
      <c r="G18" s="17"/>
      <c r="H18" s="21"/>
      <c r="I18" s="21"/>
      <c r="J18" s="17"/>
      <c r="K18" s="17"/>
      <c r="L18" s="21"/>
      <c r="M18" s="20"/>
    </row>
    <row r="19" spans="1:13" x14ac:dyDescent="0.3">
      <c r="A19" s="15"/>
      <c r="B19" s="18" t="s">
        <v>79</v>
      </c>
      <c r="C19" s="17">
        <v>4854.2299999999996</v>
      </c>
      <c r="D19" s="17" t="s">
        <v>67</v>
      </c>
      <c r="E19" s="21"/>
      <c r="F19" s="18" t="s">
        <v>80</v>
      </c>
      <c r="G19" s="17">
        <v>4494.2299999999996</v>
      </c>
      <c r="H19" s="17" t="s">
        <v>67</v>
      </c>
      <c r="I19" s="21"/>
      <c r="J19" s="18" t="s">
        <v>79</v>
      </c>
      <c r="K19" s="23" t="s">
        <v>69</v>
      </c>
      <c r="L19" s="17" t="s">
        <v>67</v>
      </c>
      <c r="M19" s="20"/>
    </row>
    <row r="20" spans="1:13" x14ac:dyDescent="0.3">
      <c r="A20" s="15"/>
      <c r="B20" s="17"/>
      <c r="C20" s="17"/>
      <c r="D20" s="21"/>
      <c r="E20" s="21"/>
      <c r="F20" s="28" t="s">
        <v>81</v>
      </c>
      <c r="G20" s="23">
        <f>0-4854.23</f>
        <v>-4854.2299999999996</v>
      </c>
      <c r="H20" s="21"/>
      <c r="I20" s="21"/>
      <c r="J20" s="17"/>
      <c r="K20" s="17"/>
      <c r="L20" s="21"/>
      <c r="M20" s="20"/>
    </row>
    <row r="21" spans="1:13" ht="10.050000000000001" customHeight="1" x14ac:dyDescent="0.3">
      <c r="A21" s="15"/>
      <c r="B21" s="21"/>
      <c r="C21" s="21"/>
      <c r="D21" s="21"/>
      <c r="E21" s="21"/>
      <c r="F21" s="21"/>
      <c r="G21" s="21"/>
      <c r="H21" s="21"/>
      <c r="I21" s="21"/>
      <c r="J21" s="21"/>
      <c r="K21" s="21"/>
      <c r="L21" s="21"/>
      <c r="M21" s="20"/>
    </row>
    <row r="22" spans="1:13" x14ac:dyDescent="0.3">
      <c r="A22" s="15"/>
      <c r="B22" s="17"/>
      <c r="C22" s="17"/>
      <c r="D22" s="21"/>
      <c r="E22" s="21"/>
      <c r="F22" s="23" t="s">
        <v>82</v>
      </c>
      <c r="G22" s="23">
        <f>0-8000</f>
        <v>-8000</v>
      </c>
      <c r="H22" s="21"/>
      <c r="I22" s="21"/>
      <c r="J22" s="17"/>
      <c r="K22" s="17"/>
      <c r="L22" s="21"/>
      <c r="M22" s="20"/>
    </row>
    <row r="23" spans="1:13" ht="10.050000000000001" customHeight="1" x14ac:dyDescent="0.3">
      <c r="A23" s="15"/>
      <c r="B23" s="21"/>
      <c r="C23" s="21"/>
      <c r="D23" s="21"/>
      <c r="E23" s="21"/>
      <c r="F23" s="21"/>
      <c r="G23" s="21"/>
      <c r="H23" s="21"/>
      <c r="I23" s="21"/>
      <c r="J23" s="21"/>
      <c r="K23" s="21"/>
      <c r="L23" s="21"/>
      <c r="M23" s="20"/>
    </row>
    <row r="24" spans="1:13" x14ac:dyDescent="0.3">
      <c r="A24" s="15"/>
      <c r="B24" s="21"/>
      <c r="C24" s="21"/>
      <c r="D24" s="21"/>
      <c r="E24" s="21"/>
      <c r="F24" s="23" t="s">
        <v>83</v>
      </c>
      <c r="G24" s="29">
        <f>G8+G11+G14+G17+G20</f>
        <v>-388895.85</v>
      </c>
      <c r="H24" s="21"/>
      <c r="I24" s="21"/>
      <c r="J24" s="21"/>
      <c r="K24" s="21"/>
      <c r="L24" s="21"/>
      <c r="M24" s="20"/>
    </row>
    <row r="25" spans="1:13" x14ac:dyDescent="0.3">
      <c r="A25" s="15"/>
      <c r="B25" s="17"/>
      <c r="C25" s="17"/>
      <c r="D25" s="21"/>
      <c r="E25" s="21"/>
      <c r="F25" s="17"/>
      <c r="G25" s="17"/>
      <c r="H25" s="21"/>
      <c r="I25" s="21"/>
      <c r="J25" s="17"/>
      <c r="K25" s="17"/>
      <c r="L25" s="21"/>
      <c r="M25" s="20"/>
    </row>
    <row r="26" spans="1:13" x14ac:dyDescent="0.3">
      <c r="A26" s="15"/>
      <c r="B26" s="17"/>
      <c r="C26" s="17"/>
      <c r="D26" s="21"/>
      <c r="E26" s="21"/>
      <c r="F26" s="23" t="s">
        <v>84</v>
      </c>
      <c r="G26" s="23">
        <f>K4+K7+K13</f>
        <v>-1033258.0099999999</v>
      </c>
      <c r="H26" s="21"/>
      <c r="I26" s="21"/>
      <c r="J26" s="17"/>
      <c r="K26" s="17"/>
      <c r="L26" s="21"/>
      <c r="M26" s="20"/>
    </row>
    <row r="27" spans="1:13" ht="15" thickBot="1" x14ac:dyDescent="0.35">
      <c r="A27" s="30"/>
      <c r="B27" s="31"/>
      <c r="C27" s="31"/>
      <c r="D27" s="32"/>
      <c r="E27" s="32"/>
      <c r="F27" s="32"/>
      <c r="G27" s="33"/>
      <c r="H27" s="32"/>
      <c r="I27" s="32"/>
      <c r="J27" s="31"/>
      <c r="K27" s="31"/>
      <c r="L27" s="32"/>
      <c r="M27" s="34"/>
    </row>
    <row r="28" spans="1:13" x14ac:dyDescent="0.3">
      <c r="B28"/>
      <c r="D28" s="35"/>
      <c r="H28" s="35"/>
      <c r="J28"/>
      <c r="L28" s="35"/>
    </row>
    <row r="29" spans="1:13" x14ac:dyDescent="0.3">
      <c r="B29"/>
      <c r="D29" s="35"/>
      <c r="F29"/>
      <c r="G29"/>
      <c r="H29" s="35"/>
      <c r="J29"/>
      <c r="L29" s="35"/>
    </row>
    <row r="30" spans="1:13" x14ac:dyDescent="0.3">
      <c r="B30"/>
      <c r="C30"/>
      <c r="F30"/>
      <c r="G30"/>
      <c r="J30"/>
      <c r="K30" s="36"/>
      <c r="L30" s="35"/>
    </row>
    <row r="31" spans="1:13" x14ac:dyDescent="0.3">
      <c r="B31"/>
      <c r="F31"/>
      <c r="G31"/>
      <c r="J31"/>
      <c r="L31" s="35"/>
    </row>
    <row r="32" spans="1:13" x14ac:dyDescent="0.3">
      <c r="B32"/>
      <c r="C32" s="37"/>
      <c r="D32" s="35"/>
      <c r="F32"/>
      <c r="G32" s="37"/>
      <c r="H32" s="38"/>
      <c r="J32"/>
      <c r="L32" s="35"/>
    </row>
    <row r="33" spans="2:12" x14ac:dyDescent="0.3">
      <c r="J33"/>
      <c r="L33" s="35"/>
    </row>
    <row r="35" spans="2:12" x14ac:dyDescent="0.3">
      <c r="B35"/>
      <c r="D35" s="35"/>
      <c r="H35" s="35"/>
      <c r="J35"/>
      <c r="L35" s="35"/>
    </row>
  </sheetData>
  <printOptions gridLines="1"/>
  <pageMargins left="0.70866141732283472" right="0.70866141732283472" top="0.74803149606299213" bottom="0.74803149606299213" header="0.31496062992125984" footer="0.31496062992125984"/>
  <pageSetup scale="55"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Strategy</vt:lpstr>
      <vt:lpstr>My Concerns</vt:lpstr>
      <vt:lpstr>Financial Disclosure Checklist</vt:lpstr>
      <vt:lpstr>Funds Removed By Heather</vt:lpstr>
      <vt:lpstr>'Funds Removed By Heather'!Print_Area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Cooke</dc:creator>
  <cp:lastModifiedBy>Stephen Cooke</cp:lastModifiedBy>
  <cp:lastPrinted>2024-06-01T04:12:21Z</cp:lastPrinted>
  <dcterms:created xsi:type="dcterms:W3CDTF">2024-05-31T15:03:34Z</dcterms:created>
  <dcterms:modified xsi:type="dcterms:W3CDTF">2024-06-01T07:26:38Z</dcterms:modified>
</cp:coreProperties>
</file>